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rae\GitHub-projects\T-REx-Tax-Reconciliation-Export-\"/>
    </mc:Choice>
  </mc:AlternateContent>
  <xr:revisionPtr revIDLastSave="0" documentId="13_ncr:1_{5A0D3F39-837C-4084-86D3-E22EE15738D2}" xr6:coauthVersionLast="47" xr6:coauthVersionMax="47" xr10:uidLastSave="{00000000-0000-0000-0000-000000000000}"/>
  <bookViews>
    <workbookView xWindow="28680" yWindow="-120" windowWidth="29040" windowHeight="15720" xr2:uid="{FCFCC97D-452A-4993-B8A9-11249439CFEE}"/>
  </bookViews>
  <sheets>
    <sheet name="Input" sheetId="1" r:id="rId1"/>
    <sheet name="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2" l="1"/>
  <c r="B15" i="2"/>
  <c r="B12" i="2"/>
  <c r="B11" i="2"/>
  <c r="B10" i="2"/>
  <c r="B9" i="2"/>
  <c r="B8" i="2"/>
  <c r="B5" i="2"/>
  <c r="B4" i="2"/>
  <c r="B3" i="2"/>
  <c r="B13" i="2" l="1"/>
  <c r="B16" i="2" s="1"/>
  <c r="B18" i="2" s="1"/>
</calcChain>
</file>

<file path=xl/sharedStrings.xml><?xml version="1.0" encoding="utf-8"?>
<sst xmlns="http://schemas.openxmlformats.org/spreadsheetml/2006/main" count="26" uniqueCount="25">
  <si>
    <t>Client Name</t>
  </si>
  <si>
    <t>Tax Year</t>
  </si>
  <si>
    <t>Entity Type</t>
  </si>
  <si>
    <t>Accounting Income Before Tax</t>
  </si>
  <si>
    <t xml:space="preserve">Permanent Add-Backs (Non-deductibles)  </t>
  </si>
  <si>
    <t xml:space="preserve">Temporary Differences (Timing) </t>
  </si>
  <si>
    <t xml:space="preserve">Special Deductions (e.g., Sec 179)  </t>
  </si>
  <si>
    <t xml:space="preserve">NOL Used (Net Operating Loss)  </t>
  </si>
  <si>
    <t xml:space="preserve">Federal Tax Rate </t>
  </si>
  <si>
    <t xml:space="preserve">Federal Estimated Payments  </t>
  </si>
  <si>
    <t>T-REX  Tax Summary</t>
  </si>
  <si>
    <t>Tax Year:</t>
  </si>
  <si>
    <t>Client Name:</t>
  </si>
  <si>
    <t>Entity Type:</t>
  </si>
  <si>
    <t>Add: Permanent Add-Backs</t>
  </si>
  <si>
    <t>Add/Less: Temporary Differences</t>
  </si>
  <si>
    <t>Less: Special Deductions</t>
  </si>
  <si>
    <t>Less: NOL Used</t>
  </si>
  <si>
    <t>Taxable Income</t>
  </si>
  <si>
    <t>Federal Tax Rate</t>
  </si>
  <si>
    <t>Federal Tax Before Payments</t>
  </si>
  <si>
    <t>Federal Estimated Payments</t>
  </si>
  <si>
    <t>Federal Tax Due / (Refund)</t>
  </si>
  <si>
    <t>Demo Client LLC</t>
  </si>
  <si>
    <t>S-Corporation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</si>
</sst>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50063-5A6B-4DF6-9A01-E351CD290C76}">
  <dimension ref="A1:B11"/>
  <sheetViews>
    <sheetView tabSelected="1" workbookViewId="0">
      <selection activeCell="B10" sqref="B10"/>
    </sheetView>
  </sheetViews>
  <sheetFormatPr defaultRowHeight="15" x14ac:dyDescent="0.25"/>
  <cols>
    <col min="1" max="1" width="38.85546875" bestFit="1" customWidth="1"/>
    <col min="2" max="2" width="36" customWidth="1"/>
  </cols>
  <sheetData>
    <row r="1" spans="1:2" x14ac:dyDescent="0.25">
      <c r="A1" t="s">
        <v>0</v>
      </c>
      <c r="B1" t="s">
        <v>23</v>
      </c>
    </row>
    <row r="2" spans="1:2" x14ac:dyDescent="0.25">
      <c r="A2" t="s">
        <v>1</v>
      </c>
      <c r="B2">
        <v>2025</v>
      </c>
    </row>
    <row r="3" spans="1:2" x14ac:dyDescent="0.25">
      <c r="A3" t="s">
        <v>2</v>
      </c>
      <c r="B3" t="s">
        <v>24</v>
      </c>
    </row>
    <row r="5" spans="1:2" x14ac:dyDescent="0.25">
      <c r="A5" t="s">
        <v>3</v>
      </c>
      <c r="B5">
        <v>150000</v>
      </c>
    </row>
    <row r="6" spans="1:2" x14ac:dyDescent="0.25">
      <c r="A6" t="s">
        <v>4</v>
      </c>
      <c r="B6">
        <v>3500</v>
      </c>
    </row>
    <row r="7" spans="1:2" x14ac:dyDescent="0.25">
      <c r="A7" t="s">
        <v>5</v>
      </c>
      <c r="B7">
        <v>-1200</v>
      </c>
    </row>
    <row r="8" spans="1:2" x14ac:dyDescent="0.25">
      <c r="A8" t="s">
        <v>6</v>
      </c>
      <c r="B8">
        <v>5000</v>
      </c>
    </row>
    <row r="9" spans="1:2" x14ac:dyDescent="0.25">
      <c r="A9" t="s">
        <v>7</v>
      </c>
      <c r="B9">
        <v>10000</v>
      </c>
    </row>
    <row r="10" spans="1:2" x14ac:dyDescent="0.25">
      <c r="A10" t="s">
        <v>8</v>
      </c>
      <c r="B10">
        <v>0.21</v>
      </c>
    </row>
    <row r="11" spans="1:2" x14ac:dyDescent="0.25">
      <c r="A11" t="s">
        <v>9</v>
      </c>
      <c r="B11">
        <v>12000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7B112-D961-417B-BDF6-C3BAD72F8CF9}">
  <dimension ref="A1:B18"/>
  <sheetViews>
    <sheetView workbookViewId="0">
      <selection activeCell="B5" sqref="B5"/>
    </sheetView>
  </sheetViews>
  <sheetFormatPr defaultRowHeight="15" x14ac:dyDescent="0.25"/>
  <cols>
    <col min="1" max="1" width="27.85546875" bestFit="1" customWidth="1"/>
    <col min="2" max="4" width="30.28515625" customWidth="1"/>
  </cols>
  <sheetData>
    <row r="1" spans="1:2" x14ac:dyDescent="0.25">
      <c r="A1" t="s">
        <v>10</v>
      </c>
    </row>
    <row r="3" spans="1:2" x14ac:dyDescent="0.25">
      <c r="A3" t="s">
        <v>12</v>
      </c>
      <c r="B3" t="str">
        <f>Input!B1</f>
        <v>Demo Client LLC</v>
      </c>
    </row>
    <row r="4" spans="1:2" x14ac:dyDescent="0.25">
      <c r="A4" t="s">
        <v>11</v>
      </c>
      <c r="B4">
        <f>Input!B2</f>
        <v>2025</v>
      </c>
    </row>
    <row r="5" spans="1:2" x14ac:dyDescent="0.25">
      <c r="A5" t="s">
        <v>13</v>
      </c>
      <c r="B5" t="str">
        <f>Input!B3</f>
        <v>S-Corporation</v>
      </c>
    </row>
    <row r="8" spans="1:2" x14ac:dyDescent="0.25">
      <c r="A8" t="s">
        <v>3</v>
      </c>
      <c r="B8">
        <f>Input!B5</f>
        <v>150000</v>
      </c>
    </row>
    <row r="9" spans="1:2" x14ac:dyDescent="0.25">
      <c r="A9" t="s">
        <v>14</v>
      </c>
      <c r="B9">
        <f>Input!B6</f>
        <v>3500</v>
      </c>
    </row>
    <row r="10" spans="1:2" x14ac:dyDescent="0.25">
      <c r="A10" t="s">
        <v>15</v>
      </c>
      <c r="B10">
        <f>Input!B7</f>
        <v>-1200</v>
      </c>
    </row>
    <row r="11" spans="1:2" x14ac:dyDescent="0.25">
      <c r="A11" t="s">
        <v>16</v>
      </c>
      <c r="B11">
        <f>Input!B8</f>
        <v>5000</v>
      </c>
    </row>
    <row r="12" spans="1:2" x14ac:dyDescent="0.25">
      <c r="A12" t="s">
        <v>17</v>
      </c>
      <c r="B12">
        <f>Input!B9</f>
        <v>10000</v>
      </c>
    </row>
    <row r="13" spans="1:2" x14ac:dyDescent="0.25">
      <c r="A13" t="s">
        <v>18</v>
      </c>
      <c r="B13">
        <f>B8 + B9 + B10 - B11 - B12</f>
        <v>137300</v>
      </c>
    </row>
    <row r="15" spans="1:2" x14ac:dyDescent="0.25">
      <c r="A15" t="s">
        <v>19</v>
      </c>
      <c r="B15">
        <f>Input!B10</f>
        <v>0.21</v>
      </c>
    </row>
    <row r="16" spans="1:2" x14ac:dyDescent="0.25">
      <c r="A16" t="s">
        <v>20</v>
      </c>
      <c r="B16">
        <f>B13 * B15</f>
        <v>28833</v>
      </c>
    </row>
    <row r="17" spans="1:2" x14ac:dyDescent="0.25">
      <c r="A17" t="s">
        <v>21</v>
      </c>
      <c r="B17">
        <f>Input!B11</f>
        <v>12000</v>
      </c>
    </row>
    <row r="18" spans="1:2" x14ac:dyDescent="0.25">
      <c r="A18" t="s">
        <v>22</v>
      </c>
      <c r="B18">
        <f>B16 - B17</f>
        <v>16833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Israel Villa</dc:creator>
  <cp:lastModifiedBy>Israel Villa</cp:lastModifiedBy>
  <dcterms:created xsi:type="dcterms:W3CDTF">2025-11-15T20:13:25Z</dcterms:created>
  <dcterms:modified xsi:type="dcterms:W3CDTF">2025-11-15T20:27:23Z</dcterms:modified>
</cp:coreProperties>
</file>